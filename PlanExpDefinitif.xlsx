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voux2\Downloads\"/>
    </mc:Choice>
  </mc:AlternateContent>
  <xr:revisionPtr revIDLastSave="0" documentId="8_{09F0E30D-5A72-4CA6-983C-F5C1853E3DE3}" xr6:coauthVersionLast="47" xr6:coauthVersionMax="47" xr10:uidLastSave="{00000000-0000-0000-0000-000000000000}"/>
  <bookViews>
    <workbookView xWindow="-120" yWindow="-120" windowWidth="29040" windowHeight="15840" xr2:uid="{597D800F-CD94-4C7B-8CF4-0B51D0F053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E25" i="1"/>
  <c r="H25" i="1" s="1"/>
  <c r="E24" i="1"/>
  <c r="E23" i="1"/>
  <c r="H23" i="1" s="1"/>
  <c r="E22" i="1"/>
  <c r="H22" i="1" s="1"/>
  <c r="E21" i="1"/>
  <c r="E20" i="1"/>
  <c r="H20" i="1" s="1"/>
  <c r="E19" i="1"/>
  <c r="H19" i="1" s="1"/>
  <c r="E18" i="1"/>
  <c r="E17" i="1"/>
  <c r="H17" i="1" s="1"/>
  <c r="D25" i="1"/>
  <c r="G25" i="1" s="1"/>
  <c r="D24" i="1"/>
  <c r="G24" i="1" s="1"/>
  <c r="D23" i="1"/>
  <c r="D22" i="1"/>
  <c r="F22" i="1" s="1"/>
  <c r="D21" i="1"/>
  <c r="G21" i="1" s="1"/>
  <c r="D20" i="1"/>
  <c r="F20" i="1" s="1"/>
  <c r="D19" i="1"/>
  <c r="G19" i="1" s="1"/>
  <c r="D18" i="1"/>
  <c r="G18" i="1" s="1"/>
  <c r="D17" i="1"/>
  <c r="H24" i="1"/>
  <c r="G23" i="1"/>
  <c r="H21" i="1"/>
  <c r="H18" i="1"/>
  <c r="G17" i="1"/>
  <c r="G20" i="1" l="1"/>
  <c r="F18" i="1"/>
  <c r="F19" i="1"/>
  <c r="G22" i="1"/>
  <c r="F17" i="1"/>
  <c r="F21" i="1"/>
  <c r="F24" i="1"/>
  <c r="F25" i="1"/>
  <c r="F23" i="1"/>
  <c r="C31" i="1" l="1" a="1"/>
  <c r="C31" i="1" s="1"/>
  <c r="C41" i="1" s="1" a="1"/>
  <c r="C41" i="1" s="1"/>
  <c r="C49" i="1" l="1" a="1"/>
  <c r="C49" i="1" s="1"/>
  <c r="C58" i="1" s="1" a="1"/>
  <c r="C58" i="1" s="1"/>
  <c r="J58" i="1" s="1" a="1"/>
  <c r="J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<sst xmlns="http://schemas.openxmlformats.org/spreadsheetml/2006/main" count="60" uniqueCount="49">
  <si>
    <t>Facteurs</t>
  </si>
  <si>
    <t>X1</t>
  </si>
  <si>
    <t>X2</t>
  </si>
  <si>
    <t>X3 (fixe)</t>
  </si>
  <si>
    <t>Paramètre</t>
  </si>
  <si>
    <t>α °</t>
  </si>
  <si>
    <t>H m</t>
  </si>
  <si>
    <t>1er essai</t>
  </si>
  <si>
    <t>2e essai</t>
  </si>
  <si>
    <t>3e essai</t>
  </si>
  <si>
    <t>essai 4</t>
  </si>
  <si>
    <t>essai 5</t>
  </si>
  <si>
    <t xml:space="preserve">essai 6 </t>
  </si>
  <si>
    <t>essai 7</t>
  </si>
  <si>
    <t>essai 8</t>
  </si>
  <si>
    <t>y2</t>
  </si>
  <si>
    <t>y3</t>
  </si>
  <si>
    <t>y4</t>
  </si>
  <si>
    <t>y5</t>
  </si>
  <si>
    <t>y6</t>
  </si>
  <si>
    <t>y7</t>
  </si>
  <si>
    <t>y8</t>
  </si>
  <si>
    <t>Matrice C</t>
  </si>
  <si>
    <t>a0</t>
  </si>
  <si>
    <t>a1</t>
  </si>
  <si>
    <t>a2</t>
  </si>
  <si>
    <t>a12</t>
  </si>
  <si>
    <t>a11</t>
  </si>
  <si>
    <t>a22</t>
  </si>
  <si>
    <t>X1*X2</t>
  </si>
  <si>
    <t>X1^2</t>
  </si>
  <si>
    <t>X2^2</t>
  </si>
  <si>
    <t>Y</t>
  </si>
  <si>
    <t>Centrées réduites</t>
  </si>
  <si>
    <t>Matrice Ct</t>
  </si>
  <si>
    <t>Ct*Y</t>
  </si>
  <si>
    <t>Ct*C</t>
  </si>
  <si>
    <t>inv(Ct*C)</t>
  </si>
  <si>
    <t>a=inv(Ct*C) * CT*Y</t>
  </si>
  <si>
    <t>Cran d'armement</t>
  </si>
  <si>
    <t>essai 9</t>
  </si>
  <si>
    <t>x1 centréered</t>
  </si>
  <si>
    <t>x2 centrée red</t>
  </si>
  <si>
    <t>3e cran</t>
  </si>
  <si>
    <t>2e cran</t>
  </si>
  <si>
    <t>1er cran</t>
  </si>
  <si>
    <t>Y1 (m)</t>
  </si>
  <si>
    <t>f(X1,X2)=1,3280702 - 0,6155702 X1 + 1,1655263 X2 - 0,0642105 X1X2 - 0,3322368 X1^2 + 0,1578947X2^2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</si>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</sst>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Border="1"/>
    <xf numFmtId="0" fontId="0" fillId="5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Portée</a:t>
            </a:r>
            <a:r>
              <a:rPr lang="fr-FR" baseline="0"/>
              <a:t> en fonction de l'angle de tir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y=f(alpha) (cran 3)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(Feuil1!$T$13,Feuil1!$T$14,Feuil1!$T$15)</c:f>
              <c:numCache>
                <c:formatCode>General</c:formatCode>
                <c:ptCount val="3"/>
                <c:pt idx="0">
                  <c:v>40</c:v>
                </c:pt>
                <c:pt idx="1">
                  <c:v>55</c:v>
                </c:pt>
                <c:pt idx="2">
                  <c:v>70</c:v>
                </c:pt>
              </c:numCache>
            </c:numRef>
          </c:xVal>
          <c:yVal>
            <c:numRef>
              <c:f>(Feuil1!$S$13,Feuil1!$S$14,Feuil1!$S$15)</c:f>
              <c:numCache>
                <c:formatCode>General</c:formatCode>
                <c:ptCount val="3"/>
                <c:pt idx="0">
                  <c:v>2.96</c:v>
                </c:pt>
                <c:pt idx="1">
                  <c:v>2.72</c:v>
                </c:pt>
                <c:pt idx="2">
                  <c:v>1.61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29-4793-836E-0F1BCB5536A6}"/>
            </c:ext>
          </c:extLst>
        </c:ser>
        <c:ser>
          <c:idx val="1"/>
          <c:order val="1"/>
          <c:tx>
            <c:v>y=f(alpha) (cran 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(Feuil1!$T$17,Feuil1!$T$18,Feuil1!$T$19)</c:f>
              <c:numCache>
                <c:formatCode>General</c:formatCode>
                <c:ptCount val="3"/>
                <c:pt idx="0">
                  <c:v>40</c:v>
                </c:pt>
                <c:pt idx="1">
                  <c:v>55</c:v>
                </c:pt>
                <c:pt idx="2">
                  <c:v>70</c:v>
                </c:pt>
              </c:numCache>
            </c:numRef>
          </c:xVal>
          <c:yVal>
            <c:numRef>
              <c:f>Feuil1!$S$17:$S$19</c:f>
              <c:numCache>
                <c:formatCode>General</c:formatCode>
                <c:ptCount val="3"/>
                <c:pt idx="0">
                  <c:v>1.66</c:v>
                </c:pt>
                <c:pt idx="1">
                  <c:v>1.25</c:v>
                </c:pt>
                <c:pt idx="2">
                  <c:v>0.66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29-4793-836E-0F1BCB5536A6}"/>
            </c:ext>
          </c:extLst>
        </c:ser>
        <c:ser>
          <c:idx val="2"/>
          <c:order val="2"/>
          <c:tx>
            <c:v>y=f(alpha) (1er cran)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Feuil1!$T$21:$T$23</c:f>
              <c:numCache>
                <c:formatCode>General</c:formatCode>
                <c:ptCount val="3"/>
                <c:pt idx="0">
                  <c:v>40</c:v>
                </c:pt>
                <c:pt idx="1">
                  <c:v>55</c:v>
                </c:pt>
                <c:pt idx="2">
                  <c:v>70</c:v>
                </c:pt>
              </c:numCache>
            </c:numRef>
          </c:xVal>
          <c:yVal>
            <c:numRef>
              <c:f>Feuil1!$S$21:$S$23</c:f>
              <c:numCache>
                <c:formatCode>General</c:formatCode>
                <c:ptCount val="3"/>
                <c:pt idx="0">
                  <c:v>0.53</c:v>
                </c:pt>
                <c:pt idx="1">
                  <c:v>0.33</c:v>
                </c:pt>
                <c:pt idx="2">
                  <c:v>0.13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29-4793-836E-0F1BCB55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893343"/>
        <c:axId val="1516902079"/>
      </c:scatterChart>
      <c:valAx>
        <c:axId val="151689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</a:t>
                </a:r>
                <a:r>
                  <a:rPr lang="fr-FR" baseline="0"/>
                  <a:t> alpha en °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6902079"/>
        <c:crosses val="autoZero"/>
        <c:crossBetween val="midCat"/>
      </c:valAx>
      <c:valAx>
        <c:axId val="15169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 Portée</a:t>
                </a:r>
                <a:r>
                  <a:rPr lang="fr-FR" baseline="0"/>
                  <a:t> en Mètres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689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383474</xdr:colOff>
      <xdr:row>49</xdr:row>
      <xdr:rowOff>148442</xdr:rowOff>
    </xdr:from>
    <xdr:to>
      <xdr:col>20</xdr:col>
      <xdr:colOff>73161</xdr:colOff>
      <xdr:row>52</xdr:row>
      <xdr:rowOff>10944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F1029C5-3136-417D-A1DE-51813CB8A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597" y="9240487"/>
          <a:ext cx="6592220" cy="419158"/>
        </a:xfrm>
        <a:prstGeom prst="rect">
          <a:avLst/>
        </a:prstGeom>
      </xdr:spPr>
    </xdr:pic>
    <xdr:clientData/>
  </xdr:twoCellAnchor>
  <xdr:twoCellAnchor>
    <xdr:from>
      <xdr:col>11</xdr:col>
      <xdr:colOff>670460</xdr:colOff>
      <xdr:row>10</xdr:row>
      <xdr:rowOff>125186</xdr:rowOff>
    </xdr:from>
    <xdr:to>
      <xdr:col>17</xdr:col>
      <xdr:colOff>640771</xdr:colOff>
      <xdr:row>25</xdr:row>
      <xdr:rowOff>85106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D5CA54C-3805-4644-9A77-19E2B8365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2680-43D6-4B26-9ACF-26D661FBF1F1}">
  <dimension ref="A1:X63"/>
  <sheetViews>
    <sheetView tabSelected="1" topLeftCell="B25" zoomScale="77" zoomScaleNormal="77" workbookViewId="0">
      <selection activeCell="Z30" sqref="Z30"/>
    </sheetView>
  </sheetViews>
  <sheetFormatPr baseColWidth="10" defaultRowHeight="15" x14ac:dyDescent="0.25"/>
  <cols>
    <col min="4" max="4" width="18.42578125" customWidth="1"/>
  </cols>
  <sheetData>
    <row r="1" spans="1:22" x14ac:dyDescent="0.25">
      <c r="A1" s="10"/>
      <c r="B1" s="10"/>
      <c r="C1" s="10"/>
      <c r="D1" s="10"/>
    </row>
    <row r="2" spans="1:22" x14ac:dyDescent="0.25">
      <c r="A2" s="10"/>
      <c r="B2" s="10"/>
      <c r="C2" s="10"/>
      <c r="D2" s="10"/>
      <c r="E2" t="s">
        <v>7</v>
      </c>
      <c r="G2" t="s">
        <v>8</v>
      </c>
      <c r="I2" t="s">
        <v>9</v>
      </c>
      <c r="K2" t="s">
        <v>10</v>
      </c>
      <c r="M2" t="s">
        <v>11</v>
      </c>
      <c r="O2" t="s">
        <v>12</v>
      </c>
      <c r="Q2" t="s">
        <v>13</v>
      </c>
      <c r="S2" t="s">
        <v>14</v>
      </c>
      <c r="U2" t="s">
        <v>40</v>
      </c>
    </row>
    <row r="3" spans="1:22" x14ac:dyDescent="0.25">
      <c r="A3" s="10"/>
      <c r="B3" s="10" t="s">
        <v>0</v>
      </c>
      <c r="C3" s="10" t="s">
        <v>1</v>
      </c>
      <c r="D3" s="10" t="s">
        <v>5</v>
      </c>
      <c r="E3">
        <v>40</v>
      </c>
      <c r="F3" s="9" t="s">
        <v>46</v>
      </c>
      <c r="G3">
        <v>70</v>
      </c>
      <c r="H3" s="9" t="s">
        <v>15</v>
      </c>
      <c r="I3">
        <v>55</v>
      </c>
      <c r="J3" s="9" t="s">
        <v>16</v>
      </c>
      <c r="K3">
        <v>55</v>
      </c>
      <c r="L3" s="9" t="s">
        <v>17</v>
      </c>
      <c r="M3">
        <v>40</v>
      </c>
      <c r="N3" s="9" t="s">
        <v>18</v>
      </c>
      <c r="O3">
        <v>70</v>
      </c>
      <c r="P3" s="9" t="s">
        <v>19</v>
      </c>
      <c r="Q3">
        <v>70</v>
      </c>
      <c r="R3" s="9" t="s">
        <v>20</v>
      </c>
      <c r="S3">
        <v>55</v>
      </c>
      <c r="T3" s="9" t="s">
        <v>21</v>
      </c>
      <c r="U3">
        <v>40</v>
      </c>
      <c r="V3" s="9" t="s">
        <v>21</v>
      </c>
    </row>
    <row r="4" spans="1:22" x14ac:dyDescent="0.25">
      <c r="A4" s="10"/>
      <c r="B4" s="10"/>
      <c r="C4" s="10" t="s">
        <v>41</v>
      </c>
      <c r="D4" s="10"/>
      <c r="E4">
        <v>-1</v>
      </c>
      <c r="F4" s="9"/>
      <c r="G4">
        <v>1</v>
      </c>
      <c r="H4" s="9"/>
      <c r="I4">
        <v>0</v>
      </c>
      <c r="J4" s="9"/>
      <c r="K4">
        <v>0</v>
      </c>
      <c r="L4" s="9"/>
      <c r="M4">
        <v>-1</v>
      </c>
      <c r="N4" s="9"/>
      <c r="O4">
        <v>1</v>
      </c>
      <c r="P4" s="9"/>
      <c r="Q4">
        <v>1</v>
      </c>
      <c r="R4" s="9"/>
      <c r="S4">
        <v>0</v>
      </c>
      <c r="T4" s="9"/>
      <c r="U4">
        <v>-1</v>
      </c>
      <c r="V4" s="9"/>
    </row>
    <row r="5" spans="1:22" x14ac:dyDescent="0.25">
      <c r="A5" s="10"/>
      <c r="B5" s="10"/>
      <c r="C5" s="10" t="s">
        <v>2</v>
      </c>
      <c r="D5" s="10" t="s">
        <v>39</v>
      </c>
      <c r="E5" t="s">
        <v>43</v>
      </c>
      <c r="F5" s="9"/>
      <c r="G5" t="s">
        <v>43</v>
      </c>
      <c r="H5" s="9"/>
      <c r="I5" t="s">
        <v>43</v>
      </c>
      <c r="J5" s="9"/>
      <c r="K5" t="s">
        <v>44</v>
      </c>
      <c r="L5" s="9"/>
      <c r="M5" t="s">
        <v>44</v>
      </c>
      <c r="N5" s="9"/>
      <c r="O5" t="s">
        <v>44</v>
      </c>
      <c r="P5" s="9"/>
      <c r="Q5" t="s">
        <v>45</v>
      </c>
      <c r="R5" s="9"/>
      <c r="S5" t="s">
        <v>45</v>
      </c>
      <c r="T5" s="9"/>
      <c r="U5" t="s">
        <v>45</v>
      </c>
      <c r="V5" s="9"/>
    </row>
    <row r="6" spans="1:22" x14ac:dyDescent="0.25">
      <c r="A6" s="10"/>
      <c r="B6" s="10"/>
      <c r="C6" s="10" t="s">
        <v>42</v>
      </c>
      <c r="D6" s="10"/>
      <c r="E6">
        <v>1</v>
      </c>
      <c r="F6" s="9"/>
      <c r="G6">
        <v>1</v>
      </c>
      <c r="H6" s="9"/>
      <c r="I6">
        <v>1</v>
      </c>
      <c r="J6" s="9"/>
      <c r="K6">
        <v>0</v>
      </c>
      <c r="L6" s="9"/>
      <c r="M6">
        <v>0</v>
      </c>
      <c r="N6" s="9"/>
      <c r="O6">
        <v>0</v>
      </c>
      <c r="P6" s="9"/>
      <c r="Q6">
        <v>-1</v>
      </c>
      <c r="R6" s="9"/>
      <c r="S6">
        <v>-1</v>
      </c>
      <c r="T6" s="9"/>
      <c r="U6">
        <v>-1</v>
      </c>
      <c r="V6" s="9"/>
    </row>
    <row r="7" spans="1:22" x14ac:dyDescent="0.25">
      <c r="A7" s="10"/>
      <c r="B7" s="10" t="s">
        <v>4</v>
      </c>
      <c r="C7" s="11" t="s">
        <v>3</v>
      </c>
      <c r="D7" s="11" t="s">
        <v>6</v>
      </c>
      <c r="E7" s="4"/>
      <c r="F7" s="9">
        <v>2.96</v>
      </c>
      <c r="G7" s="4"/>
      <c r="H7" s="9">
        <v>1.61</v>
      </c>
      <c r="I7" s="4"/>
      <c r="J7" s="9">
        <v>2.72</v>
      </c>
      <c r="K7" s="4"/>
      <c r="L7" s="9">
        <v>1.25</v>
      </c>
      <c r="M7" s="4"/>
      <c r="N7" s="9">
        <v>1.66</v>
      </c>
      <c r="O7" s="4"/>
      <c r="P7" s="9">
        <v>0.66</v>
      </c>
      <c r="R7" s="9">
        <v>0.13</v>
      </c>
      <c r="S7" s="4"/>
      <c r="T7" s="9">
        <v>0.33</v>
      </c>
      <c r="U7" s="4"/>
      <c r="V7" s="9">
        <v>0.53</v>
      </c>
    </row>
    <row r="8" spans="1:22" x14ac:dyDescent="0.25">
      <c r="A8" s="10"/>
      <c r="B8" s="10"/>
      <c r="C8" s="10"/>
      <c r="D8" s="10"/>
    </row>
    <row r="9" spans="1:22" x14ac:dyDescent="0.25">
      <c r="A9" s="10"/>
      <c r="B9" s="10"/>
      <c r="C9" s="10"/>
      <c r="D9" s="10"/>
      <c r="E9" s="10"/>
    </row>
    <row r="10" spans="1:22" x14ac:dyDescent="0.25">
      <c r="A10" s="10"/>
      <c r="B10" s="10"/>
      <c r="C10" s="10"/>
      <c r="D10" s="10"/>
      <c r="E10" s="10"/>
    </row>
    <row r="11" spans="1:22" x14ac:dyDescent="0.25">
      <c r="A11" s="10"/>
      <c r="B11" s="10"/>
    </row>
    <row r="12" spans="1:22" x14ac:dyDescent="0.25">
      <c r="A12" s="10"/>
      <c r="B12" s="10"/>
      <c r="S12" t="s">
        <v>32</v>
      </c>
      <c r="T12" t="s">
        <v>48</v>
      </c>
      <c r="U12" t="s">
        <v>39</v>
      </c>
    </row>
    <row r="13" spans="1:22" x14ac:dyDescent="0.25">
      <c r="A13" s="10"/>
      <c r="B13" s="10"/>
      <c r="E13" t="s">
        <v>33</v>
      </c>
      <c r="S13">
        <v>2.96</v>
      </c>
      <c r="T13">
        <v>40</v>
      </c>
      <c r="U13">
        <v>3</v>
      </c>
    </row>
    <row r="14" spans="1:22" x14ac:dyDescent="0.25">
      <c r="S14">
        <v>2.72</v>
      </c>
      <c r="T14">
        <v>55</v>
      </c>
    </row>
    <row r="15" spans="1:22" x14ac:dyDescent="0.25"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S15">
        <v>1.61</v>
      </c>
      <c r="T15">
        <v>70</v>
      </c>
    </row>
    <row r="16" spans="1:22" x14ac:dyDescent="0.25">
      <c r="C16" s="3"/>
      <c r="D16" s="3" t="s">
        <v>1</v>
      </c>
      <c r="E16" s="3" t="s">
        <v>2</v>
      </c>
      <c r="F16" s="3" t="s">
        <v>29</v>
      </c>
      <c r="G16" s="3" t="s">
        <v>30</v>
      </c>
      <c r="H16" s="3" t="s">
        <v>31</v>
      </c>
      <c r="I16" s="1" t="s">
        <v>32</v>
      </c>
    </row>
    <row r="17" spans="3:21" x14ac:dyDescent="0.25">
      <c r="C17" s="2">
        <v>1</v>
      </c>
      <c r="D17" s="2">
        <f>E4</f>
        <v>-1</v>
      </c>
      <c r="E17" s="2">
        <f>E6</f>
        <v>1</v>
      </c>
      <c r="F17" s="2">
        <f>D17*E17</f>
        <v>-1</v>
      </c>
      <c r="G17" s="2">
        <f>D17^2</f>
        <v>1</v>
      </c>
      <c r="H17" s="2">
        <f>E17^2</f>
        <v>1</v>
      </c>
      <c r="I17" s="1">
        <f>F7</f>
        <v>2.96</v>
      </c>
      <c r="S17">
        <v>1.66</v>
      </c>
      <c r="T17">
        <v>40</v>
      </c>
      <c r="U17">
        <v>2</v>
      </c>
    </row>
    <row r="18" spans="3:21" x14ac:dyDescent="0.25">
      <c r="C18" s="2">
        <v>1</v>
      </c>
      <c r="D18" s="2">
        <f>G4</f>
        <v>1</v>
      </c>
      <c r="E18" s="2">
        <f>G6</f>
        <v>1</v>
      </c>
      <c r="F18" s="2">
        <f t="shared" ref="F18:F24" si="0">D18*E18</f>
        <v>1</v>
      </c>
      <c r="G18" s="2">
        <f t="shared" ref="G18:G24" si="1">D18^2</f>
        <v>1</v>
      </c>
      <c r="H18" s="2">
        <f t="shared" ref="H18:H24" si="2">E18^2</f>
        <v>1</v>
      </c>
      <c r="I18" s="1">
        <f>H7</f>
        <v>1.61</v>
      </c>
      <c r="S18">
        <v>1.25</v>
      </c>
      <c r="T18">
        <v>55</v>
      </c>
    </row>
    <row r="19" spans="3:21" x14ac:dyDescent="0.25">
      <c r="C19" s="2">
        <v>1</v>
      </c>
      <c r="D19" s="2">
        <f>I4</f>
        <v>0</v>
      </c>
      <c r="E19" s="2">
        <f>I6</f>
        <v>1</v>
      </c>
      <c r="F19" s="2">
        <f t="shared" si="0"/>
        <v>0</v>
      </c>
      <c r="G19" s="2">
        <f t="shared" si="1"/>
        <v>0</v>
      </c>
      <c r="H19" s="2">
        <f t="shared" si="2"/>
        <v>1</v>
      </c>
      <c r="I19" s="1">
        <f>J7</f>
        <v>2.72</v>
      </c>
      <c r="S19">
        <v>0.66</v>
      </c>
      <c r="T19">
        <v>70</v>
      </c>
    </row>
    <row r="20" spans="3:21" x14ac:dyDescent="0.25">
      <c r="C20" s="2">
        <v>1</v>
      </c>
      <c r="D20" s="2">
        <f>K4</f>
        <v>0</v>
      </c>
      <c r="E20" s="2">
        <f>K6</f>
        <v>0</v>
      </c>
      <c r="F20" s="2">
        <f t="shared" si="0"/>
        <v>0</v>
      </c>
      <c r="G20" s="2">
        <f t="shared" si="1"/>
        <v>0</v>
      </c>
      <c r="H20" s="2">
        <f t="shared" si="2"/>
        <v>0</v>
      </c>
      <c r="I20" s="1">
        <f>L7</f>
        <v>1.25</v>
      </c>
    </row>
    <row r="21" spans="3:21" x14ac:dyDescent="0.25">
      <c r="C21" s="2">
        <v>1</v>
      </c>
      <c r="D21" s="2">
        <f>M4</f>
        <v>-1</v>
      </c>
      <c r="E21" s="2">
        <f>M6</f>
        <v>0</v>
      </c>
      <c r="F21" s="2">
        <f t="shared" si="0"/>
        <v>0</v>
      </c>
      <c r="G21" s="2">
        <f t="shared" si="1"/>
        <v>1</v>
      </c>
      <c r="H21" s="2">
        <f t="shared" si="2"/>
        <v>0</v>
      </c>
      <c r="I21" s="1">
        <f>N7</f>
        <v>1.66</v>
      </c>
      <c r="S21">
        <v>0.53</v>
      </c>
      <c r="T21">
        <v>40</v>
      </c>
      <c r="U21">
        <v>1</v>
      </c>
    </row>
    <row r="22" spans="3:21" x14ac:dyDescent="0.25">
      <c r="C22" s="2">
        <v>1</v>
      </c>
      <c r="D22" s="2">
        <f>O4</f>
        <v>1</v>
      </c>
      <c r="E22" s="2">
        <f>O6</f>
        <v>0</v>
      </c>
      <c r="F22" s="2">
        <f t="shared" si="0"/>
        <v>0</v>
      </c>
      <c r="G22" s="2">
        <f t="shared" si="1"/>
        <v>1</v>
      </c>
      <c r="H22" s="2">
        <f t="shared" si="2"/>
        <v>0</v>
      </c>
      <c r="I22" s="1">
        <f>P7</f>
        <v>0.66</v>
      </c>
      <c r="S22">
        <v>0.33</v>
      </c>
      <c r="T22">
        <v>55</v>
      </c>
    </row>
    <row r="23" spans="3:21" x14ac:dyDescent="0.25">
      <c r="C23" s="2">
        <v>1</v>
      </c>
      <c r="D23" s="2">
        <f>Q4</f>
        <v>1</v>
      </c>
      <c r="E23" s="2">
        <f>O6</f>
        <v>0</v>
      </c>
      <c r="F23" s="2">
        <f t="shared" si="0"/>
        <v>0</v>
      </c>
      <c r="G23" s="2">
        <f t="shared" si="1"/>
        <v>1</v>
      </c>
      <c r="H23" s="2">
        <f t="shared" si="2"/>
        <v>0</v>
      </c>
      <c r="I23" s="1">
        <f>R7</f>
        <v>0.13</v>
      </c>
      <c r="S23">
        <v>0.13</v>
      </c>
      <c r="T23">
        <v>70</v>
      </c>
    </row>
    <row r="24" spans="3:21" x14ac:dyDescent="0.25">
      <c r="C24" s="2">
        <v>1</v>
      </c>
      <c r="D24" s="2">
        <f>S4</f>
        <v>0</v>
      </c>
      <c r="E24" s="2">
        <f>S6</f>
        <v>-1</v>
      </c>
      <c r="F24" s="2">
        <f t="shared" si="0"/>
        <v>0</v>
      </c>
      <c r="G24" s="2">
        <f t="shared" si="1"/>
        <v>0</v>
      </c>
      <c r="H24" s="2">
        <f t="shared" si="2"/>
        <v>1</v>
      </c>
      <c r="I24" s="1">
        <f>T7</f>
        <v>0.33</v>
      </c>
    </row>
    <row r="25" spans="3:21" x14ac:dyDescent="0.25">
      <c r="C25" s="2">
        <v>1</v>
      </c>
      <c r="D25" s="2">
        <f>U4</f>
        <v>-1</v>
      </c>
      <c r="E25" s="2">
        <f>U6</f>
        <v>-1</v>
      </c>
      <c r="F25" s="2">
        <f>D25*E25</f>
        <v>1</v>
      </c>
      <c r="G25" s="2">
        <f>D25^2</f>
        <v>1</v>
      </c>
      <c r="H25" s="2">
        <f>E25^2</f>
        <v>1</v>
      </c>
      <c r="I25" s="1">
        <f>V7</f>
        <v>0.53</v>
      </c>
    </row>
    <row r="29" spans="3:21" x14ac:dyDescent="0.25">
      <c r="C29" t="s">
        <v>34</v>
      </c>
    </row>
    <row r="31" spans="3:21" x14ac:dyDescent="0.25">
      <c r="C31" s="4" cm="1">
        <f t="array" ref="C31:K36">TRANSPOSE(C17:H25)</f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</row>
    <row r="32" spans="3:21" x14ac:dyDescent="0.25">
      <c r="C32" s="4">
        <v>-1</v>
      </c>
      <c r="D32" s="4">
        <v>1</v>
      </c>
      <c r="E32" s="4">
        <v>0</v>
      </c>
      <c r="F32" s="4">
        <v>0</v>
      </c>
      <c r="G32" s="4">
        <v>-1</v>
      </c>
      <c r="H32" s="4">
        <v>1</v>
      </c>
      <c r="I32" s="4">
        <v>1</v>
      </c>
      <c r="J32" s="4">
        <v>0</v>
      </c>
      <c r="K32" s="4">
        <v>-1</v>
      </c>
    </row>
    <row r="33" spans="3:11" x14ac:dyDescent="0.25">
      <c r="C33" s="4">
        <v>1</v>
      </c>
      <c r="D33" s="4">
        <v>1</v>
      </c>
      <c r="E33" s="4">
        <v>1</v>
      </c>
      <c r="F33" s="4">
        <v>0</v>
      </c>
      <c r="G33" s="4">
        <v>0</v>
      </c>
      <c r="H33" s="4">
        <v>0</v>
      </c>
      <c r="I33" s="4">
        <v>0</v>
      </c>
      <c r="J33" s="4">
        <v>-1</v>
      </c>
      <c r="K33" s="4">
        <v>-1</v>
      </c>
    </row>
    <row r="34" spans="3:11" x14ac:dyDescent="0.25">
      <c r="C34" s="4">
        <v>-1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</row>
    <row r="35" spans="3:11" x14ac:dyDescent="0.25">
      <c r="C35" s="4">
        <v>1</v>
      </c>
      <c r="D35" s="4">
        <v>1</v>
      </c>
      <c r="E35" s="4">
        <v>0</v>
      </c>
      <c r="F35" s="4">
        <v>0</v>
      </c>
      <c r="G35" s="4">
        <v>1</v>
      </c>
      <c r="H35" s="4">
        <v>1</v>
      </c>
      <c r="I35" s="4">
        <v>1</v>
      </c>
      <c r="J35" s="4">
        <v>0</v>
      </c>
      <c r="K35" s="4">
        <v>1</v>
      </c>
    </row>
    <row r="36" spans="3:11" x14ac:dyDescent="0.25">
      <c r="C36" s="4">
        <v>1</v>
      </c>
      <c r="D36" s="4">
        <v>1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4">
        <v>1</v>
      </c>
      <c r="K36" s="4">
        <v>1</v>
      </c>
    </row>
    <row r="39" spans="3:11" x14ac:dyDescent="0.25">
      <c r="C39" t="s">
        <v>35</v>
      </c>
    </row>
    <row r="41" spans="3:11" x14ac:dyDescent="0.25">
      <c r="C41" s="5" cm="1">
        <f t="array" ref="C41:C46">MMULT(_xlfn.ANCHORARRAY(C31),I17:I25)</f>
        <v>11.850000000000001</v>
      </c>
    </row>
    <row r="42" spans="3:11" x14ac:dyDescent="0.25">
      <c r="C42" s="5">
        <v>-2.75</v>
      </c>
    </row>
    <row r="43" spans="3:11" x14ac:dyDescent="0.25">
      <c r="C43" s="5">
        <v>6.4300000000000006</v>
      </c>
    </row>
    <row r="44" spans="3:11" x14ac:dyDescent="0.25">
      <c r="C44" s="5">
        <v>-0.81999999999999984</v>
      </c>
    </row>
    <row r="45" spans="3:11" x14ac:dyDescent="0.25">
      <c r="C45" s="5">
        <v>7.5500000000000007</v>
      </c>
    </row>
    <row r="46" spans="3:11" x14ac:dyDescent="0.25">
      <c r="C46" s="5">
        <v>8.15</v>
      </c>
    </row>
    <row r="48" spans="3:11" x14ac:dyDescent="0.25">
      <c r="C48" t="s">
        <v>36</v>
      </c>
    </row>
    <row r="49" spans="3:24" x14ac:dyDescent="0.25">
      <c r="C49" s="6" cm="1">
        <f t="array" ref="C49:H54">MMULT(_xlfn.ANCHORARRAY(C31),C17:H25)</f>
        <v>9</v>
      </c>
      <c r="D49" s="6">
        <v>0</v>
      </c>
      <c r="E49" s="6">
        <v>1</v>
      </c>
      <c r="F49" s="6">
        <v>1</v>
      </c>
      <c r="G49" s="6">
        <v>6</v>
      </c>
      <c r="H49" s="6">
        <v>5</v>
      </c>
    </row>
    <row r="50" spans="3:24" x14ac:dyDescent="0.25">
      <c r="C50" s="6">
        <v>0</v>
      </c>
      <c r="D50" s="6">
        <v>6</v>
      </c>
      <c r="E50" s="6">
        <v>1</v>
      </c>
      <c r="F50" s="6">
        <v>1</v>
      </c>
      <c r="G50" s="6">
        <v>0</v>
      </c>
      <c r="H50" s="6">
        <v>-1</v>
      </c>
    </row>
    <row r="51" spans="3:24" x14ac:dyDescent="0.25">
      <c r="C51" s="6">
        <v>1</v>
      </c>
      <c r="D51" s="6">
        <v>1</v>
      </c>
      <c r="E51" s="6">
        <v>5</v>
      </c>
      <c r="F51" s="6">
        <v>-1</v>
      </c>
      <c r="G51" s="6">
        <v>1</v>
      </c>
      <c r="H51" s="6">
        <v>1</v>
      </c>
    </row>
    <row r="52" spans="3:24" x14ac:dyDescent="0.25">
      <c r="C52" s="6">
        <v>1</v>
      </c>
      <c r="D52" s="6">
        <v>1</v>
      </c>
      <c r="E52" s="6">
        <v>-1</v>
      </c>
      <c r="F52" s="6">
        <v>3</v>
      </c>
      <c r="G52" s="6">
        <v>1</v>
      </c>
      <c r="H52" s="6">
        <v>1</v>
      </c>
    </row>
    <row r="53" spans="3:24" x14ac:dyDescent="0.25">
      <c r="C53" s="6">
        <v>6</v>
      </c>
      <c r="D53" s="6">
        <v>0</v>
      </c>
      <c r="E53" s="6">
        <v>1</v>
      </c>
      <c r="F53" s="6">
        <v>1</v>
      </c>
      <c r="G53" s="6">
        <v>6</v>
      </c>
      <c r="H53" s="6">
        <v>3</v>
      </c>
    </row>
    <row r="54" spans="3:24" x14ac:dyDescent="0.25">
      <c r="C54" s="6">
        <v>5</v>
      </c>
      <c r="D54" s="6">
        <v>-1</v>
      </c>
      <c r="E54" s="6">
        <v>1</v>
      </c>
      <c r="F54" s="6">
        <v>1</v>
      </c>
      <c r="G54" s="6">
        <v>3</v>
      </c>
      <c r="H54" s="6">
        <v>5</v>
      </c>
    </row>
    <row r="57" spans="3:24" x14ac:dyDescent="0.25">
      <c r="C57" t="s">
        <v>37</v>
      </c>
      <c r="J57" t="s">
        <v>38</v>
      </c>
    </row>
    <row r="58" spans="3:24" x14ac:dyDescent="0.25">
      <c r="C58" s="7" cm="1">
        <f t="array" ref="C58:H63">MINVERSE(_xlfn.ANCHORARRAY(C49))</f>
        <v>0.61403508771929816</v>
      </c>
      <c r="D58" s="7">
        <v>-0.11403508771929821</v>
      </c>
      <c r="E58" s="7">
        <v>0.10526315789473678</v>
      </c>
      <c r="F58" s="7">
        <v>0.1578947368421052</v>
      </c>
      <c r="G58" s="7">
        <v>-0.44736842105263158</v>
      </c>
      <c r="H58" s="7">
        <v>-0.42105263157894712</v>
      </c>
      <c r="J58" s="8" cm="1">
        <f t="array" ref="J58:J63">MMULT(_xlfn.ANCHORARRAY(C58),_xlfn.ANCHORARRAY(C41))</f>
        <v>1.3280701754385982</v>
      </c>
      <c r="M58" s="12" t="s">
        <v>47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3:24" x14ac:dyDescent="0.25">
      <c r="C59" s="7">
        <v>-0.1140350877192982</v>
      </c>
      <c r="D59" s="7">
        <v>0.23903508771929824</v>
      </c>
      <c r="E59" s="7">
        <v>-0.10526315789473682</v>
      </c>
      <c r="F59" s="7">
        <v>-0.1578947368421052</v>
      </c>
      <c r="G59" s="7">
        <v>7.2368421052631568E-2</v>
      </c>
      <c r="H59" s="7">
        <v>0.17105263157894726</v>
      </c>
      <c r="J59" s="8">
        <v>-0.61557017543859671</v>
      </c>
    </row>
    <row r="60" spans="3:24" x14ac:dyDescent="0.25">
      <c r="C60" s="7">
        <v>0.10526315789473679</v>
      </c>
      <c r="D60" s="7">
        <v>-0.10526315789473684</v>
      </c>
      <c r="E60" s="7">
        <v>0.28947368421052627</v>
      </c>
      <c r="F60" s="7">
        <v>0.18421052631578941</v>
      </c>
      <c r="G60" s="7">
        <v>-0.10526315789473685</v>
      </c>
      <c r="H60" s="7">
        <v>-0.1578947368421052</v>
      </c>
      <c r="J60" s="8">
        <v>1.1655263157894735</v>
      </c>
    </row>
    <row r="61" spans="3:24" x14ac:dyDescent="0.25">
      <c r="C61" s="7">
        <v>0.1578947368421052</v>
      </c>
      <c r="D61" s="7">
        <v>-0.15789473684210525</v>
      </c>
      <c r="E61" s="7">
        <v>0.18421052631578946</v>
      </c>
      <c r="F61" s="7">
        <v>0.52631578947368407</v>
      </c>
      <c r="G61" s="7">
        <v>-0.15789473684210525</v>
      </c>
      <c r="H61" s="7">
        <v>-0.23684210526315774</v>
      </c>
      <c r="J61" s="8">
        <v>-6.4210526315789052E-2</v>
      </c>
    </row>
    <row r="62" spans="3:24" x14ac:dyDescent="0.25">
      <c r="C62" s="7">
        <v>-0.44736842105263142</v>
      </c>
      <c r="D62" s="7">
        <v>7.236842105263154E-2</v>
      </c>
      <c r="E62" s="7">
        <v>-0.10526315789473681</v>
      </c>
      <c r="F62" s="7">
        <v>-0.1578947368421052</v>
      </c>
      <c r="G62" s="7">
        <v>0.57236842105263153</v>
      </c>
      <c r="H62" s="7">
        <v>0.17105263157894718</v>
      </c>
      <c r="J62" s="8">
        <v>-0.33223684210526283</v>
      </c>
    </row>
    <row r="63" spans="3:24" x14ac:dyDescent="0.25">
      <c r="C63" s="7">
        <v>-0.42105263157894723</v>
      </c>
      <c r="D63" s="7">
        <v>0.17105263157894732</v>
      </c>
      <c r="E63" s="7">
        <v>-0.1578947368421052</v>
      </c>
      <c r="F63" s="7">
        <v>-0.2368421052631578</v>
      </c>
      <c r="G63" s="7">
        <v>0.17105263157894732</v>
      </c>
      <c r="H63" s="7">
        <v>0.6315789473684208</v>
      </c>
      <c r="J63" s="8">
        <v>0.15789473684210442</v>
      </c>
    </row>
  </sheetData>
  <mergeCells count="1">
    <mergeCell ref="M58:X5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pelvoux2</dc:creator>
  <cp:lastModifiedBy>pelvoux2</cp:lastModifiedBy>
  <dcterms:created xsi:type="dcterms:W3CDTF">2026-05-20T07:54:18Z</dcterms:created>
  <dcterms:modified xsi:type="dcterms:W3CDTF">2026-05-22T16:12:45Z</dcterms:modified>
</cp:coreProperties>
</file>